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willi\Downloads\"/>
    </mc:Choice>
  </mc:AlternateContent>
  <xr:revisionPtr revIDLastSave="0" documentId="8_{35F55A2F-326E-4610-B7CD-042BF8EF748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ain" sheetId="1" r:id="rId1"/>
    <sheet name="Mod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4" i="1"/>
  <c r="C5" i="1" s="1"/>
  <c r="C8" i="1" s="1"/>
</calcChain>
</file>

<file path=xl/sharedStrings.xml><?xml version="1.0" encoding="utf-8"?>
<sst xmlns="http://schemas.openxmlformats.org/spreadsheetml/2006/main" count="37" uniqueCount="36">
  <si>
    <t>Price</t>
  </si>
  <si>
    <t>Q325</t>
  </si>
  <si>
    <t>Shares</t>
  </si>
  <si>
    <t>Market Cap</t>
  </si>
  <si>
    <t>Cash</t>
  </si>
  <si>
    <t>Debt</t>
  </si>
  <si>
    <t>EV</t>
  </si>
  <si>
    <t>Main</t>
  </si>
  <si>
    <t>Q322</t>
  </si>
  <si>
    <t>Q422</t>
  </si>
  <si>
    <t>Q123</t>
  </si>
  <si>
    <t>Q223</t>
  </si>
  <si>
    <t>Q323</t>
  </si>
  <si>
    <t>Q424</t>
  </si>
  <si>
    <t>Q125</t>
  </si>
  <si>
    <t>Q225</t>
  </si>
  <si>
    <t>Shops</t>
  </si>
  <si>
    <t>Revenue/Shop</t>
  </si>
  <si>
    <t>Company</t>
  </si>
  <si>
    <t>Franchise</t>
  </si>
  <si>
    <t>Revenue</t>
  </si>
  <si>
    <t>COGS</t>
  </si>
  <si>
    <t>Gross Margin</t>
  </si>
  <si>
    <t>SG&amp;A</t>
  </si>
  <si>
    <t xml:space="preserve">Operating Income </t>
  </si>
  <si>
    <t>Interest Expense</t>
  </si>
  <si>
    <t>Pretax Income</t>
  </si>
  <si>
    <t>Taxes</t>
  </si>
  <si>
    <t>Net Income</t>
  </si>
  <si>
    <t>EPS</t>
  </si>
  <si>
    <t>Shares Outstanding</t>
  </si>
  <si>
    <t>Q423</t>
  </si>
  <si>
    <t>Q124</t>
  </si>
  <si>
    <t>Q425</t>
  </si>
  <si>
    <t>Q224</t>
  </si>
  <si>
    <t>Q324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</si>
</sst>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E8"/>
  <sheetViews>
    <sheetView workbookViewId="0"/>
  </sheetViews>
  <sheetFormatPr defaultColWidth="12.6640625" defaultRowHeight="15.75" customHeight="1" x14ac:dyDescent="0.25"/>
  <sheetData>
    <row r="3" spans="2:5" x14ac:dyDescent="0.25">
      <c r="B3" s="1" t="s">
        <v>0</v>
      </c>
      <c r="C3" s="2">
        <v>58.9</v>
      </c>
      <c r="E3" s="1" t="s">
        <v>1</v>
      </c>
    </row>
    <row r="4" spans="2:5" x14ac:dyDescent="0.25">
      <c r="B4" s="1" t="s">
        <v>2</v>
      </c>
      <c r="C4" s="2">
        <f>127.031+35.21+2.279</f>
        <v>164.52</v>
      </c>
    </row>
    <row r="5" spans="2:5" x14ac:dyDescent="0.25">
      <c r="B5" s="1" t="s">
        <v>3</v>
      </c>
      <c r="C5" s="2">
        <f>C3*C4</f>
        <v>9690.228000000001</v>
      </c>
    </row>
    <row r="6" spans="2:5" x14ac:dyDescent="0.25">
      <c r="B6" s="1" t="s">
        <v>4</v>
      </c>
      <c r="C6" s="2">
        <v>267.19499999999999</v>
      </c>
    </row>
    <row r="7" spans="2:5" x14ac:dyDescent="0.25">
      <c r="B7" s="1" t="s">
        <v>5</v>
      </c>
      <c r="C7" s="2">
        <f>195.997</f>
        <v>195.99700000000001</v>
      </c>
    </row>
    <row r="8" spans="2:5" x14ac:dyDescent="0.25">
      <c r="B8" s="1" t="s">
        <v>6</v>
      </c>
      <c r="C8" s="2">
        <f>C5-C6+C7</f>
        <v>9619.0300000000007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9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12.6640625" defaultRowHeight="15.75" customHeight="1" x14ac:dyDescent="0.25"/>
  <cols>
    <col min="2" max="2" width="15.77734375" customWidth="1"/>
  </cols>
  <sheetData>
    <row r="1" spans="1:17" x14ac:dyDescent="0.25">
      <c r="A1" s="4" t="s">
        <v>7</v>
      </c>
    </row>
    <row r="3" spans="1:17" x14ac:dyDescent="0.25"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31</v>
      </c>
      <c r="I3" s="1" t="s">
        <v>32</v>
      </c>
      <c r="J3" s="1" t="s">
        <v>34</v>
      </c>
      <c r="K3" s="1" t="s">
        <v>35</v>
      </c>
      <c r="L3" s="1" t="s">
        <v>13</v>
      </c>
      <c r="M3" s="1" t="s">
        <v>14</v>
      </c>
      <c r="N3" s="1" t="s">
        <v>15</v>
      </c>
      <c r="O3" s="1" t="s">
        <v>1</v>
      </c>
      <c r="P3" s="1" t="s">
        <v>33</v>
      </c>
      <c r="Q3" s="1">
        <v>2025</v>
      </c>
    </row>
    <row r="4" spans="1:17" x14ac:dyDescent="0.25">
      <c r="B4" s="1" t="s">
        <v>16</v>
      </c>
      <c r="C4">
        <v>641</v>
      </c>
      <c r="D4">
        <v>671</v>
      </c>
      <c r="E4">
        <v>716</v>
      </c>
      <c r="F4">
        <v>754</v>
      </c>
      <c r="G4">
        <v>794</v>
      </c>
      <c r="H4">
        <v>831</v>
      </c>
      <c r="I4">
        <v>831</v>
      </c>
      <c r="J4">
        <v>912</v>
      </c>
      <c r="K4">
        <v>950</v>
      </c>
      <c r="L4">
        <v>982</v>
      </c>
      <c r="M4">
        <v>1012</v>
      </c>
      <c r="N4">
        <v>1043</v>
      </c>
      <c r="O4">
        <v>1081</v>
      </c>
    </row>
    <row r="5" spans="1:17" x14ac:dyDescent="0.25">
      <c r="B5" s="1" t="s">
        <v>17</v>
      </c>
    </row>
    <row r="7" spans="1:17" x14ac:dyDescent="0.25">
      <c r="B7" s="1" t="s">
        <v>18</v>
      </c>
    </row>
    <row r="8" spans="1:17" x14ac:dyDescent="0.25">
      <c r="B8" s="1" t="s">
        <v>19</v>
      </c>
    </row>
    <row r="9" spans="1:17" x14ac:dyDescent="0.25">
      <c r="B9" s="3" t="s">
        <v>20</v>
      </c>
    </row>
    <row r="10" spans="1:17" x14ac:dyDescent="0.25">
      <c r="B10" s="1" t="s">
        <v>21</v>
      </c>
    </row>
    <row r="11" spans="1:17" x14ac:dyDescent="0.25">
      <c r="B11" s="1" t="s">
        <v>22</v>
      </c>
    </row>
    <row r="12" spans="1:17" x14ac:dyDescent="0.25">
      <c r="B12" s="1" t="s">
        <v>23</v>
      </c>
    </row>
    <row r="13" spans="1:17" x14ac:dyDescent="0.25">
      <c r="B13" s="1" t="s">
        <v>24</v>
      </c>
    </row>
    <row r="14" spans="1:17" x14ac:dyDescent="0.25">
      <c r="B14" s="1" t="s">
        <v>25</v>
      </c>
    </row>
    <row r="15" spans="1:17" x14ac:dyDescent="0.25">
      <c r="B15" s="1" t="s">
        <v>26</v>
      </c>
    </row>
    <row r="16" spans="1:17" x14ac:dyDescent="0.25">
      <c r="B16" s="1" t="s">
        <v>27</v>
      </c>
    </row>
    <row r="17" spans="2:2" x14ac:dyDescent="0.25">
      <c r="B17" s="1" t="s">
        <v>28</v>
      </c>
    </row>
    <row r="18" spans="2:2" x14ac:dyDescent="0.25">
      <c r="B18" s="1" t="s">
        <v>29</v>
      </c>
    </row>
    <row r="19" spans="2:2" x14ac:dyDescent="0.25">
      <c r="B19" s="1" t="s">
        <v>30</v>
      </c>
    </row>
  </sheetData>
  <hyperlinks>
    <hyperlink ref="A1" location="Main!A1" display="Main" xr:uid="{E81AADB7-D4A2-4B91-BB02-55A8356E2D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Waldrop</dc:creator>
  <cp:lastModifiedBy>William Waldrop</cp:lastModifiedBy>
  <dcterms:created xsi:type="dcterms:W3CDTF">2025-12-12T06:19:38Z</dcterms:created>
  <dcterms:modified xsi:type="dcterms:W3CDTF">2025-12-12T06:23:26Z</dcterms:modified>
</cp:coreProperties>
</file>