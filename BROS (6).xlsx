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Model" sheetId="2" r:id="rId5"/>
  </sheets>
  <definedNames/>
  <calcPr/>
</workbook>
</file>

<file path=xl/sharedStrings.xml><?xml version="1.0" encoding="utf-8"?>
<sst xmlns="http://schemas.openxmlformats.org/spreadsheetml/2006/main" count="33" uniqueCount="31">
  <si>
    <t>Price</t>
  </si>
  <si>
    <t>Q325</t>
  </si>
  <si>
    <t>Shares</t>
  </si>
  <si>
    <t>Market Cap</t>
  </si>
  <si>
    <t>Cash</t>
  </si>
  <si>
    <t>Debt</t>
  </si>
  <si>
    <t>EV</t>
  </si>
  <si>
    <t>Main</t>
  </si>
  <si>
    <t>Q322</t>
  </si>
  <si>
    <t>Q422</t>
  </si>
  <si>
    <t>Q123</t>
  </si>
  <si>
    <t>Q223</t>
  </si>
  <si>
    <t>Q323</t>
  </si>
  <si>
    <t>Q424</t>
  </si>
  <si>
    <t>Q125</t>
  </si>
  <si>
    <t>Q225</t>
  </si>
  <si>
    <t>Shops</t>
  </si>
  <si>
    <t>Revenue/Shop</t>
  </si>
  <si>
    <t>Company</t>
  </si>
  <si>
    <t>Franchise</t>
  </si>
  <si>
    <t>Revenue</t>
  </si>
  <si>
    <t>COGS</t>
  </si>
  <si>
    <t>Gross Margin</t>
  </si>
  <si>
    <t>SG&amp;A</t>
  </si>
  <si>
    <t xml:space="preserve">Operating Income </t>
  </si>
  <si>
    <t>Interest Expense</t>
  </si>
  <si>
    <t>Pretax Income</t>
  </si>
  <si>
    <t>Taxes</t>
  </si>
  <si>
    <t>Net Income</t>
  </si>
  <si>
    <t>EPS</t>
  </si>
  <si>
    <t>Shares Outstanding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</si>
</sst>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2">
        <v>58.9</v>
      </c>
      <c r="E3" s="1" t="s">
        <v>1</v>
      </c>
    </row>
    <row r="4">
      <c r="B4" s="1" t="s">
        <v>2</v>
      </c>
      <c r="C4" s="2">
        <f>127.031+35.21+2.279</f>
        <v>164.52</v>
      </c>
    </row>
    <row r="5">
      <c r="B5" s="1" t="s">
        <v>3</v>
      </c>
      <c r="C5" s="3">
        <f>C3*C4</f>
        <v>9690.228</v>
      </c>
    </row>
    <row r="6">
      <c r="B6" s="1" t="s">
        <v>4</v>
      </c>
      <c r="C6" s="2">
        <v>267.195</v>
      </c>
    </row>
    <row r="7">
      <c r="B7" s="1" t="s">
        <v>5</v>
      </c>
      <c r="C7" s="3">
        <f>195.997</f>
        <v>195.997</v>
      </c>
    </row>
    <row r="8">
      <c r="B8" s="1" t="s">
        <v>6</v>
      </c>
      <c r="C8" s="3">
        <f>C5-C6+C7</f>
        <v>9619.03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2" max="2" width="15.75"/>
  </cols>
  <sheetData>
    <row r="1">
      <c r="A1" s="1" t="s">
        <v>7</v>
      </c>
    </row>
    <row r="3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</v>
      </c>
      <c r="N3" s="1">
        <v>2022.0</v>
      </c>
      <c r="O3" s="1">
        <v>2023.0</v>
      </c>
      <c r="P3" s="1">
        <v>2024.0</v>
      </c>
      <c r="Q3" s="1">
        <v>2025.0</v>
      </c>
    </row>
    <row r="4">
      <c r="B4" s="1" t="s">
        <v>16</v>
      </c>
    </row>
    <row r="5">
      <c r="B5" s="1" t="s">
        <v>17</v>
      </c>
    </row>
    <row r="7">
      <c r="B7" s="1" t="s">
        <v>18</v>
      </c>
    </row>
    <row r="8">
      <c r="B8" s="1" t="s">
        <v>19</v>
      </c>
    </row>
    <row r="9">
      <c r="B9" s="4" t="s">
        <v>20</v>
      </c>
    </row>
    <row r="10">
      <c r="B10" s="5" t="s">
        <v>21</v>
      </c>
    </row>
    <row r="11">
      <c r="B11" s="1" t="s">
        <v>22</v>
      </c>
    </row>
    <row r="12">
      <c r="B12" s="1" t="s">
        <v>23</v>
      </c>
    </row>
    <row r="13">
      <c r="B13" s="1" t="s">
        <v>24</v>
      </c>
    </row>
    <row r="14">
      <c r="B14" s="1" t="s">
        <v>25</v>
      </c>
    </row>
    <row r="15">
      <c r="B15" s="1" t="s">
        <v>26</v>
      </c>
    </row>
    <row r="16">
      <c r="B16" s="1" t="s">
        <v>27</v>
      </c>
    </row>
    <row r="17">
      <c r="B17" s="1" t="s">
        <v>28</v>
      </c>
    </row>
    <row r="18">
      <c r="B18" s="1" t="s">
        <v>29</v>
      </c>
    </row>
    <row r="19">
      <c r="B19" s="1" t="s">
        <v>30</v>
      </c>
    </row>
  </sheetData>
  <drawing r:id="rId1"/>
</worksheet>
</file>